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Calculator" sheetId="1" state="visible" r:id="rId3"/>
    <sheet name="Pricing" sheetId="2" state="visible" r:id="rId4"/>
    <sheet name="Scenarios" sheetId="3" state="visible" r:id="rId5"/>
    <sheet name="Assump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<sst xmlns="http://schemas.openxmlformats.org/spreadsheetml/2006/main" count="101" uniqueCount="95">
  <si>
    <t xml:space="preserve">Calcu-Buddy MAT142 — Claude API cost model</t>
  </si>
  <si>
    <t xml:space="preserve">Edit the yellow cells only. Everything else recalculates.</t>
  </si>
  <si>
    <t xml:space="preserve">INPUTS</t>
  </si>
  <si>
    <t xml:space="preserve">Students enrolled</t>
  </si>
  <si>
    <t xml:space="preserve">Confirmed: the bottom 20% of the cohort, targeted intervention.</t>
  </si>
  <si>
    <t xml:space="preserve">Tutoring sessions per student, per semester</t>
  </si>
  <si>
    <t xml:space="preserve">A session = one sitting with the tutor.</t>
  </si>
  <si>
    <t xml:space="preserve">Turns per session</t>
  </si>
  <si>
    <t xml:space="preserve">Raised from 25. Struggling students trigger the hint ladder more often, which adds turns.</t>
  </si>
  <si>
    <t xml:space="preserve">Avg student message (tokens)</t>
  </si>
  <si>
    <t xml:space="preserve">Calcu-Buddy invites short answers: a number, a derivative, 'I'm stuck'.</t>
  </si>
  <si>
    <t xml:space="preserve">Avg Calcu-Buddy reply (tokens)</t>
  </si>
  <si>
    <t xml:space="preserve">Prompt caps replies at 2-3 sentences + one question; LaTeX inflates the count.</t>
  </si>
  <si>
    <t xml:space="preserve">System prompt (tokens)</t>
  </si>
  <si>
    <t xml:space="preserve">~5,200 for the Calcu-Buddy prompt + slide-derived curriculum + the student's memory summary.</t>
  </si>
  <si>
    <t xml:space="preserve">Cache effectiveness</t>
  </si>
  <si>
    <t xml:space="preserve">Share of context served from a warm cache. 5-min cache expires while a student thinks.</t>
  </si>
  <si>
    <t xml:space="preserve">USD to INR</t>
  </si>
  <si>
    <t xml:space="preserve">Adjust to the current rate.</t>
  </si>
  <si>
    <t xml:space="preserve">End-of-session memory summary ($)</t>
  </si>
  <si>
    <t xml:space="preserve">One cheap Haiku call to write the recap that carries into the next session.</t>
  </si>
  <si>
    <t xml:space="preserve">TOKENS PER SESSION</t>
  </si>
  <si>
    <t xml:space="preserve">Input tokens if nothing is cached</t>
  </si>
  <si>
    <t xml:space="preserve">Every turn resends the whole conversation, so this grows with the square of turn count.</t>
  </si>
  <si>
    <t xml:space="preserve">Cache-write tokens</t>
  </si>
  <si>
    <t xml:space="preserve">Each new message is written to cache once.</t>
  </si>
  <si>
    <t xml:space="preserve">Cache-read tokens</t>
  </si>
  <si>
    <t xml:space="preserve">The bulk of input, billed at one tenth of base rate.</t>
  </si>
  <si>
    <t xml:space="preserve">Output tokens</t>
  </si>
  <si>
    <t xml:space="preserve">Conversation size at end of session</t>
  </si>
  <si>
    <t xml:space="preserve">Well inside the context window — no truncation needed.</t>
  </si>
  <si>
    <t xml:space="preserve">COST BY MODEL</t>
  </si>
  <si>
    <t xml:space="preserve">Model</t>
  </si>
  <si>
    <t xml:space="preserve">$ / session</t>
  </si>
  <si>
    <t xml:space="preserve">$ / student / semester</t>
  </si>
  <si>
    <t xml:space="preserve">Semester total (USD)</t>
  </si>
  <si>
    <t xml:space="preserve">Semester total (INR)</t>
  </si>
  <si>
    <t xml:space="preserve">Claude Sonnet 5</t>
  </si>
  <si>
    <t xml:space="preserve">Claude Haiku 4.5</t>
  </si>
  <si>
    <t xml:space="preserve">Claude Opus 5</t>
  </si>
  <si>
    <t xml:space="preserve">At 15 students the model choice costs little in absolute terms, so Opus 5 is a reasonable call: this cohort needs the strongest possible answer-checking and anxiety handling.</t>
  </si>
  <si>
    <t xml:space="preserve">RUNNING COSTS BEYOND THE API (per semester)</t>
  </si>
  <si>
    <t xml:space="preserve">Hosting (Vercel Hobby)</t>
  </si>
  <si>
    <t xml:space="preserve">Free tier is sufficient for one class. Pro is $20/month if you outgrow it.</t>
  </si>
  <si>
    <t xml:space="preserve">Database (Supabase free tier)</t>
  </si>
  <si>
    <t xml:space="preserve">Free tier covers logins and session memory at this scale.</t>
  </si>
  <si>
    <t xml:space="preserve">Domain name</t>
  </si>
  <si>
    <t xml:space="preserve">~$12/year, so ~$6 per semester. Optional — a vercel.app URL works.</t>
  </si>
  <si>
    <t xml:space="preserve">Infrastructure subtotal</t>
  </si>
  <si>
    <t xml:space="preserve">SEMESTER TOTAL (Opus 5 + infrastructure)</t>
  </si>
  <si>
    <t xml:space="preserve">Total, USD</t>
  </si>
  <si>
    <t xml:space="preserve">Total, INR</t>
  </si>
  <si>
    <t xml:space="preserve">Cost per student, USD</t>
  </si>
  <si>
    <t xml:space="preserve">Legend: yellow cells are yours to edit; green text is pulled from the Pricing tab; black is calculated.</t>
  </si>
  <si>
    <t xml:space="preserve">STRESS TEST — what if they use it more than expected?</t>
  </si>
  <si>
    <t xml:space="preserve">Scenario</t>
  </si>
  <si>
    <t xml:space="preserve">Sessions each</t>
  </si>
  <si>
    <t xml:space="preserve">Turns each</t>
  </si>
  <si>
    <t xml:space="preserve">Opus 5 semester total (USD)</t>
  </si>
  <si>
    <t xml:space="preserve">INR</t>
  </si>
  <si>
    <t xml:space="preserve">Light  — a few visits before exams</t>
  </si>
  <si>
    <t xml:space="preserve">Expected — the planning case</t>
  </si>
  <si>
    <t xml:space="preserve">Heavy — weekly use all semester</t>
  </si>
  <si>
    <t xml:space="preserve">Worst case — near-daily reliance</t>
  </si>
  <si>
    <t xml:space="preserve">Even the worst case stays inside a modest departmental budget. Set a hard monthly spend cap in the Anthropic console regardless.</t>
  </si>
  <si>
    <t xml:space="preserve">Claude API pricing (USD per million tokens)</t>
  </si>
  <si>
    <t xml:space="preserve">Source: Anthropic pricing docs, retrieved 3 September 2026 — https://platform.claude.com/docs/en/about-claude/pricing</t>
  </si>
  <si>
    <t xml:space="preserve">Base input</t>
  </si>
  <si>
    <t xml:space="preserve">5m cache write</t>
  </si>
  <si>
    <t xml:space="preserve">Cache read (hit)</t>
  </si>
  <si>
    <t xml:space="preserve">Output</t>
  </si>
  <si>
    <t xml:space="preserve">Cache read is 0.1x base input; a 5-minute cache write is 1.25x base input. Batch API (50% off) does not apply — this is live interactive chat.</t>
  </si>
  <si>
    <t xml:space="preserve">Semester API cost, Opus 5 (USD)</t>
  </si>
  <si>
    <t xml:space="preserve">Per-session cost is pulled live from the Cost Calculator tab, so edits there flow through here.</t>
  </si>
  <si>
    <t xml:space="preserve">Students \ sessions each</t>
  </si>
  <si>
    <t xml:space="preserve">Row 2 (15 students) is your planning case. The rest shows what scaling to the full cohort would cost later.</t>
  </si>
  <si>
    <t xml:space="preserve">Where every number came from</t>
  </si>
  <si>
    <t xml:space="preserve">System prompt size</t>
  </si>
  <si>
    <t xml:space="preserve">The Calcu-Buddy prompt file in your folder is 15,259 characters, which is roughly 5,200 tokens on the current tokenizer. The model adds headroom to 8,000 for the slide-derived curriculum summary and each student's carried-over memory.</t>
  </si>
  <si>
    <t xml:space="preserve">25 turns is a 30-40 minute sitting. Calcu-Buddy's design — short replies, one check question each turn — produces more turns than a typical chatbot, which is why turn count matters more than session length.</t>
  </si>
  <si>
    <t xml:space="preserve">Reply length</t>
  </si>
  <si>
    <t xml:space="preserve">Raised to 30 for this cohort. Calcu-Buddy's hint ladder (small hint, bigger hint, work the first step, then a full worked example) fires far more often with struggling students, and each rung is a turn.</t>
  </si>
  <si>
    <t xml:space="preserve">The 5-minute prompt cache expires while a student sits thinking about a problem. 75% is a deliberately cautious estimate; a chattier session does better, a slow one worse. Set it to 0% to see the true worst case.</t>
  </si>
  <si>
    <t xml:space="preserve">Cache blending</t>
  </si>
  <si>
    <t xml:space="preserve">An approximation: the model treats the cache-effectiveness figure as the share of context served warm, and bills the remainder at full base-input rates. Real billing is per-turn and slightly more favourable than this.</t>
  </si>
  <si>
    <t xml:space="preserve">Memory summary</t>
  </si>
  <si>
    <t xml:space="preserve">Session memory needs a short recap written at the end of each session. Costed as one Haiku 4.5 call over a 14k-token conversation producing ~400 tokens.</t>
  </si>
  <si>
    <t xml:space="preserve">Batch discount</t>
  </si>
  <si>
    <t xml:space="preserve">Not applied. The Batch API's 50% discount requires asynchronous processing; a live tutor cannot use it.</t>
  </si>
  <si>
    <t xml:space="preserve">Cohort size</t>
  </si>
  <si>
    <t xml:space="preserve">Confirmed at 15 — the bottom 20% of the cohort, as a targeted intervention. Cost scales linearly, so the Scenarios tab shows what opening it to everyone would cost.</t>
  </si>
  <si>
    <t xml:space="preserve">Excluded</t>
  </si>
  <si>
    <t xml:space="preserve">Your own time, and any cost of an institutional Anthropic account. Anthropic does list academic discounts as available on request, which is worth pursuing before you commit.</t>
  </si>
  <si>
    <t xml:space="preserve">Model choice</t>
  </si>
  <si>
    <t xml:space="preserve">Opus 5, at your direction. Defensible here: this cohort is the most vulnerable to a tutor that praises a wrong answer or mishandles negative self-talk, and at 15 students the premium over Sonnet is a few tens of dollars a semester.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</si>
</sst>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%"/>
    <numFmt numFmtId="167" formatCode="\$#,##0.0000"/>
    <numFmt numFmtId="168" formatCode="\$#,##0.00"/>
    <numFmt numFmtId="169" formatCode="\$#,##0.00"/>
    <numFmt numFmtId="170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5" min="4" style="1" width="21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15</v>
      </c>
      <c r="C5" s="3" t="s">
        <v>4</v>
      </c>
    </row>
    <row r="6" customFormat="false" ht="15" hidden="false" customHeight="true" outlineLevel="0" collapsed="false">
      <c r="A6" s="5" t="s">
        <v>5</v>
      </c>
      <c r="B6" s="6" t="n">
        <v>10</v>
      </c>
      <c r="C6" s="3" t="s">
        <v>6</v>
      </c>
    </row>
    <row r="7" customFormat="false" ht="15" hidden="false" customHeight="true" outlineLevel="0" collapsed="false">
      <c r="A7" s="5" t="s">
        <v>7</v>
      </c>
      <c r="B7" s="6" t="n">
        <v>30</v>
      </c>
      <c r="C7" s="3" t="s">
        <v>8</v>
      </c>
    </row>
    <row r="8" customFormat="false" ht="15" hidden="false" customHeight="true" outlineLevel="0" collapsed="false">
      <c r="A8" s="5" t="s">
        <v>9</v>
      </c>
      <c r="B8" s="6" t="n">
        <v>30</v>
      </c>
      <c r="C8" s="3" t="s">
        <v>10</v>
      </c>
    </row>
    <row r="9" customFormat="false" ht="15" hidden="false" customHeight="true" outlineLevel="0" collapsed="false">
      <c r="A9" s="5" t="s">
        <v>11</v>
      </c>
      <c r="B9" s="6" t="n">
        <v>220</v>
      </c>
      <c r="C9" s="3" t="s">
        <v>12</v>
      </c>
    </row>
    <row r="10" customFormat="false" ht="15" hidden="false" customHeight="true" outlineLevel="0" collapsed="false">
      <c r="A10" s="5" t="s">
        <v>13</v>
      </c>
      <c r="B10" s="6" t="n">
        <v>8000</v>
      </c>
      <c r="C10" s="3" t="s">
        <v>14</v>
      </c>
    </row>
    <row r="11" customFormat="false" ht="15" hidden="false" customHeight="true" outlineLevel="0" collapsed="false">
      <c r="A11" s="5" t="s">
        <v>15</v>
      </c>
      <c r="B11" s="7" t="n">
        <v>0.75</v>
      </c>
      <c r="C11" s="3" t="s">
        <v>16</v>
      </c>
    </row>
    <row r="12" customFormat="false" ht="15" hidden="false" customHeight="true" outlineLevel="0" collapsed="false">
      <c r="A12" s="5" t="s">
        <v>17</v>
      </c>
      <c r="B12" s="6" t="n">
        <v>88</v>
      </c>
      <c r="C12" s="3" t="s">
        <v>18</v>
      </c>
    </row>
    <row r="13" customFormat="false" ht="15" hidden="false" customHeight="true" outlineLevel="0" collapsed="false">
      <c r="A13" s="5" t="s">
        <v>19</v>
      </c>
      <c r="B13" s="8" t="n">
        <v>0.0015</v>
      </c>
      <c r="C13" s="3" t="s">
        <v>20</v>
      </c>
    </row>
    <row r="15" customFormat="false" ht="15" hidden="false" customHeight="true" outlineLevel="0" collapsed="false">
      <c r="A15" s="4" t="s">
        <v>21</v>
      </c>
    </row>
    <row r="16" customFormat="false" ht="15" hidden="false" customHeight="true" outlineLevel="0" collapsed="false">
      <c r="A16" s="5" t="s">
        <v>22</v>
      </c>
      <c r="B16" s="9" t="n">
        <f aca="false">$B$7*$B$10 + $B$8*$B$7*($B$7+1)/2 + $B$9*$B$7*($B$7-1)/2</f>
        <v>349650</v>
      </c>
      <c r="C16" s="3" t="s">
        <v>23</v>
      </c>
    </row>
    <row r="17" customFormat="false" ht="15" hidden="false" customHeight="true" outlineLevel="0" collapsed="false">
      <c r="A17" s="5" t="s">
        <v>24</v>
      </c>
      <c r="B17" s="9" t="n">
        <f aca="false">$B$10 + $B$7*$B$8 + ($B$7-1)*$B$9</f>
        <v>15280</v>
      </c>
      <c r="C17" s="3" t="s">
        <v>25</v>
      </c>
    </row>
    <row r="18" customFormat="false" ht="15" hidden="false" customHeight="true" outlineLevel="0" collapsed="false">
      <c r="A18" s="5" t="s">
        <v>26</v>
      </c>
      <c r="B18" s="9" t="n">
        <f aca="false">($B$7-1)*$B$10 + $B$8*($B$7-1)*$B$7/2 + $B$9*($B$7-1)*($B$7-2)/2</f>
        <v>334370</v>
      </c>
      <c r="C18" s="3" t="s">
        <v>27</v>
      </c>
    </row>
    <row r="19" customFormat="false" ht="15" hidden="false" customHeight="true" outlineLevel="0" collapsed="false">
      <c r="A19" s="5" t="s">
        <v>28</v>
      </c>
      <c r="B19" s="9" t="n">
        <f aca="false">$B$7*$B$9</f>
        <v>6600</v>
      </c>
      <c r="C19" s="3"/>
    </row>
    <row r="20" customFormat="false" ht="15" hidden="false" customHeight="true" outlineLevel="0" collapsed="false">
      <c r="A20" s="5" t="s">
        <v>29</v>
      </c>
      <c r="B20" s="9" t="n">
        <f aca="false">$B$10 + $B$7*$B$8 + $B$7*$B$9</f>
        <v>15500</v>
      </c>
      <c r="C20" s="3" t="s">
        <v>30</v>
      </c>
    </row>
    <row r="22" customFormat="false" ht="15" hidden="false" customHeight="true" outlineLevel="0" collapsed="false">
      <c r="A22" s="4" t="s">
        <v>31</v>
      </c>
    </row>
    <row r="23" customFormat="false" ht="15" hidden="false" customHeight="true" outlineLevel="0" collapsed="false">
      <c r="A23" s="10" t="s">
        <v>32</v>
      </c>
      <c r="B23" s="10" t="s">
        <v>33</v>
      </c>
      <c r="C23" s="10" t="s">
        <v>34</v>
      </c>
      <c r="D23" s="10" t="s">
        <v>35</v>
      </c>
      <c r="E23" s="10" t="s">
        <v>36</v>
      </c>
    </row>
    <row r="24" customFormat="false" ht="15" hidden="false" customHeight="true" outlineLevel="0" collapsed="false">
      <c r="A24" s="11" t="s">
        <v>37</v>
      </c>
      <c r="B24" s="12" t="n">
        <f aca="false">( $B$11*( $B$17*Pricing!$C$5 + $B$18*Pricing!$D$5 ) + (1-$B$11)*$B$16*Pricing!$B$5 + $B$19*Pricing!$E$5 )/1000000 + $B$13</f>
        <v>0.3211305</v>
      </c>
      <c r="C24" s="13" t="n">
        <f aca="false">B24*$B$6</f>
        <v>3.211305</v>
      </c>
      <c r="D24" s="13" t="n">
        <f aca="false">C24*$B$5</f>
        <v>48.169575</v>
      </c>
      <c r="E24" s="9" t="n">
        <f aca="false">D24*$B$12</f>
        <v>4238.9226</v>
      </c>
    </row>
    <row r="25" customFormat="false" ht="15" hidden="false" customHeight="true" outlineLevel="0" collapsed="false">
      <c r="A25" s="11" t="s">
        <v>38</v>
      </c>
      <c r="B25" s="12" t="n">
        <f aca="false">( $B$11*( $B$17*Pricing!$C$6 + $B$18*Pricing!$D$6 ) + (1-$B$11)*$B$16*Pricing!$B$6 + $B$19*Pricing!$E$6 )/1000000 + $B$13</f>
        <v>0.16131525</v>
      </c>
      <c r="C25" s="13" t="n">
        <f aca="false">B25*$B$6</f>
        <v>1.6131525</v>
      </c>
      <c r="D25" s="13" t="n">
        <f aca="false">C25*$B$5</f>
        <v>24.1972875</v>
      </c>
      <c r="E25" s="9" t="n">
        <f aca="false">D25*$B$12</f>
        <v>2129.3613</v>
      </c>
    </row>
    <row r="26" customFormat="false" ht="15" hidden="false" customHeight="true" outlineLevel="0" collapsed="false">
      <c r="A26" s="11" t="s">
        <v>39</v>
      </c>
      <c r="B26" s="12" t="n">
        <f aca="false">( $B$11*( $B$17*Pricing!$C$7 + $B$18*Pricing!$D$7 ) + (1-$B$11)*$B$16*Pricing!$B$7 + $B$19*Pricing!$E$7 )/1000000 + $B$13</f>
        <v>0.80057625</v>
      </c>
      <c r="C26" s="13" t="n">
        <f aca="false">B26*$B$6</f>
        <v>8.0057625</v>
      </c>
      <c r="D26" s="13" t="n">
        <f aca="false">C26*$B$5</f>
        <v>120.0864375</v>
      </c>
      <c r="E26" s="9" t="n">
        <f aca="false">D26*$B$12</f>
        <v>10567.6065</v>
      </c>
    </row>
    <row r="28" customFormat="false" ht="15" hidden="false" customHeight="true" outlineLevel="0" collapsed="false">
      <c r="A28" s="3" t="s">
        <v>40</v>
      </c>
    </row>
    <row r="30" customFormat="false" ht="15" hidden="false" customHeight="true" outlineLevel="0" collapsed="false">
      <c r="A30" s="4" t="s">
        <v>41</v>
      </c>
    </row>
    <row r="31" customFormat="false" ht="15" hidden="false" customHeight="true" outlineLevel="0" collapsed="false">
      <c r="A31" s="5" t="s">
        <v>42</v>
      </c>
      <c r="B31" s="14" t="n">
        <v>0</v>
      </c>
      <c r="C31" s="3" t="s">
        <v>43</v>
      </c>
    </row>
    <row r="32" customFormat="false" ht="15" hidden="false" customHeight="true" outlineLevel="0" collapsed="false">
      <c r="A32" s="5" t="s">
        <v>44</v>
      </c>
      <c r="B32" s="14" t="n">
        <v>0</v>
      </c>
      <c r="C32" s="3" t="s">
        <v>45</v>
      </c>
    </row>
    <row r="33" customFormat="false" ht="15" hidden="false" customHeight="true" outlineLevel="0" collapsed="false">
      <c r="A33" s="5" t="s">
        <v>46</v>
      </c>
      <c r="B33" s="14" t="n">
        <v>6</v>
      </c>
      <c r="C33" s="3" t="s">
        <v>47</v>
      </c>
    </row>
    <row r="34" customFormat="false" ht="15" hidden="false" customHeight="true" outlineLevel="0" collapsed="false">
      <c r="A34" s="15" t="s">
        <v>48</v>
      </c>
      <c r="B34" s="16" t="n">
        <f aca="false">SUM(B31:B33)</f>
        <v>6</v>
      </c>
    </row>
    <row r="36" customFormat="false" ht="15" hidden="false" customHeight="true" outlineLevel="0" collapsed="false">
      <c r="A36" s="4" t="s">
        <v>49</v>
      </c>
    </row>
    <row r="37" customFormat="false" ht="15" hidden="false" customHeight="true" outlineLevel="0" collapsed="false">
      <c r="A37" s="15" t="s">
        <v>50</v>
      </c>
      <c r="B37" s="17" t="n">
        <f aca="false">D26+B34</f>
        <v>126.0864375</v>
      </c>
    </row>
    <row r="38" customFormat="false" ht="15" hidden="false" customHeight="true" outlineLevel="0" collapsed="false">
      <c r="A38" s="15" t="s">
        <v>51</v>
      </c>
      <c r="B38" s="18" t="n">
        <f aca="false">B37*$B$12</f>
        <v>11095.6065</v>
      </c>
    </row>
    <row r="39" customFormat="false" ht="15" hidden="false" customHeight="true" outlineLevel="0" collapsed="false">
      <c r="A39" s="15" t="s">
        <v>52</v>
      </c>
      <c r="B39" s="17" t="n">
        <f aca="false">B37/$B$5</f>
        <v>8.4057625</v>
      </c>
    </row>
    <row r="41" customFormat="false" ht="15" hidden="false" customHeight="true" outlineLevel="0" collapsed="false">
      <c r="A41" s="3" t="s">
        <v>53</v>
      </c>
    </row>
    <row r="43" customFormat="false" ht="15" hidden="false" customHeight="false" outlineLevel="0" collapsed="false">
      <c r="A43" s="19" t="s">
        <v>54</v>
      </c>
    </row>
    <row r="44" customFormat="false" ht="23.85" hidden="false" customHeight="false" outlineLevel="0" collapsed="false">
      <c r="A44" s="10" t="s">
        <v>55</v>
      </c>
      <c r="B44" s="10" t="s">
        <v>56</v>
      </c>
      <c r="C44" s="10" t="s">
        <v>57</v>
      </c>
      <c r="D44" s="10" t="s">
        <v>58</v>
      </c>
      <c r="E44" s="10" t="s">
        <v>59</v>
      </c>
    </row>
    <row r="45" customFormat="false" ht="15" hidden="false" customHeight="false" outlineLevel="0" collapsed="false">
      <c r="A45" s="20" t="s">
        <v>60</v>
      </c>
      <c r="B45" s="21" t="n">
        <v>5</v>
      </c>
      <c r="C45" s="21" t="n">
        <v>20</v>
      </c>
      <c r="D45" s="22" t="n">
        <f aca="false">(( $B$11*( ($B$10 + $C$45*$B$8 + ($C$45-1)*$B$9)*Pricing!$C$7 + (($C$45-1)*$B$10 + $B$8*($C$45-1)*$C$45/2 + $B$9*($C$45-1)*($C$45-2)/2)*Pricing!$D$7 ) + (1-$B$11)*($C$45*$B$10 + $B$8*$C$45*($C$45+1)/2 + $B$9*$C$45*($C$45-1)/2)*Pricing!$B$7 + ($C$45*$B$9)*Pricing!$E$7 )/1000000 + $B$13)*$B$45*$B$5</f>
        <v>37.85821875</v>
      </c>
      <c r="E45" s="23" t="n">
        <f aca="false">D45*$B$12</f>
        <v>3331.52325</v>
      </c>
    </row>
    <row r="46" customFormat="false" ht="15" hidden="false" customHeight="false" outlineLevel="0" collapsed="false">
      <c r="A46" s="20" t="s">
        <v>61</v>
      </c>
      <c r="B46" s="21" t="n">
        <v>10</v>
      </c>
      <c r="C46" s="21" t="n">
        <v>30</v>
      </c>
      <c r="D46" s="22" t="n">
        <f aca="false">(( $B$11*( ($B$10 + $C$46*$B$8 + ($C$46-1)*$B$9)*Pricing!$C$7 + (($C$46-1)*$B$10 + $B$8*($C$46-1)*$C$46/2 + $B$9*($C$46-1)*($C$46-2)/2)*Pricing!$D$7 ) + (1-$B$11)*($C$46*$B$10 + $B$8*$C$46*($C$46+1)/2 + $B$9*$C$46*($C$46-1)/2)*Pricing!$B$7 + ($C$46*$B$9)*Pricing!$E$7 )/1000000 + $B$13)*$B$46*$B$5</f>
        <v>120.0864375</v>
      </c>
      <c r="E46" s="23" t="n">
        <f aca="false">D46*$B$12</f>
        <v>10567.6065</v>
      </c>
    </row>
    <row r="47" customFormat="false" ht="15" hidden="false" customHeight="false" outlineLevel="0" collapsed="false">
      <c r="A47" s="20" t="s">
        <v>62</v>
      </c>
      <c r="B47" s="21" t="n">
        <v>14</v>
      </c>
      <c r="C47" s="21" t="n">
        <v>40</v>
      </c>
      <c r="D47" s="22" t="n">
        <f aca="false">(( $B$11*( ($B$10 + $C$47*$B$8 + ($C$47-1)*$B$9)*Pricing!$C$7 + (($C$47-1)*$B$10 + $B$8*($C$47-1)*$C$47/2 + $B$9*($C$47-1)*($C$47-2)/2)*Pricing!$D$7 ) + (1-$B$11)*($C$47*$B$10 + $B$8*$C$47*($C$47+1)/2 + $B$9*$C$47*($C$47-1)/2)*Pricing!$B$7 + ($C$47*$B$9)*Pricing!$E$7 )/1000000 + $B$13)*$B$47*$B$5</f>
        <v>238.7702625</v>
      </c>
      <c r="E47" s="23" t="n">
        <f aca="false">D47*$B$12</f>
        <v>21011.7831</v>
      </c>
    </row>
    <row r="48" customFormat="false" ht="15" hidden="false" customHeight="false" outlineLevel="0" collapsed="false">
      <c r="A48" s="20" t="s">
        <v>63</v>
      </c>
      <c r="B48" s="21" t="n">
        <v>30</v>
      </c>
      <c r="C48" s="21" t="n">
        <v>50</v>
      </c>
      <c r="D48" s="22" t="n">
        <f aca="false">(( $B$11*( ($B$10 + $C$48*$B$8 + ($C$48-1)*$B$9)*Pricing!$C$7 + (($C$48-1)*$B$10 + $B$8*($C$48-1)*$C$48/2 + $B$9*($C$48-1)*($C$48-2)/2)*Pricing!$D$7 ) + (1-$B$11)*($C$48*$B$10 + $B$8*$C$48*($C$48+1)/2 + $B$9*$C$48*($C$48-1)/2)*Pricing!$B$7 + ($C$48*$B$9)*Pricing!$E$7 )/1000000 + $B$13)*$B$48*$B$5</f>
        <v>681.3230625</v>
      </c>
      <c r="E48" s="23" t="n">
        <f aca="false">D48*$B$12</f>
        <v>59956.4295</v>
      </c>
    </row>
    <row r="49" customFormat="false" ht="15" hidden="false" customHeight="false" outlineLevel="0" collapsed="false">
      <c r="A49" s="24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5" min="2" style="1" width="17"/>
  </cols>
  <sheetData>
    <row r="1" customFormat="false" ht="17.25" hidden="false" customHeight="true" outlineLevel="0" collapsed="false">
      <c r="A1" s="2" t="s">
        <v>65</v>
      </c>
    </row>
    <row r="2" customFormat="false" ht="15" hidden="false" customHeight="true" outlineLevel="0" collapsed="false">
      <c r="A2" s="3" t="s">
        <v>66</v>
      </c>
    </row>
    <row r="4" customFormat="false" ht="15" hidden="false" customHeight="true" outlineLevel="0" collapsed="false">
      <c r="A4" s="25" t="s">
        <v>32</v>
      </c>
      <c r="B4" s="25" t="s">
        <v>67</v>
      </c>
      <c r="C4" s="25" t="s">
        <v>68</v>
      </c>
      <c r="D4" s="25" t="s">
        <v>69</v>
      </c>
      <c r="E4" s="25" t="s">
        <v>70</v>
      </c>
    </row>
    <row r="5" customFormat="false" ht="15" hidden="false" customHeight="true" outlineLevel="0" collapsed="false">
      <c r="A5" s="26" t="s">
        <v>37</v>
      </c>
      <c r="B5" s="27" t="n">
        <v>2</v>
      </c>
      <c r="C5" s="27" t="n">
        <v>2.5</v>
      </c>
      <c r="D5" s="27" t="n">
        <v>0.2</v>
      </c>
      <c r="E5" s="27" t="n">
        <v>10</v>
      </c>
    </row>
    <row r="6" customFormat="false" ht="15" hidden="false" customHeight="true" outlineLevel="0" collapsed="false">
      <c r="A6" s="26" t="s">
        <v>38</v>
      </c>
      <c r="B6" s="27" t="n">
        <v>1</v>
      </c>
      <c r="C6" s="27" t="n">
        <v>1.25</v>
      </c>
      <c r="D6" s="27" t="n">
        <v>0.1</v>
      </c>
      <c r="E6" s="27" t="n">
        <v>5</v>
      </c>
    </row>
    <row r="7" customFormat="false" ht="15" hidden="false" customHeight="true" outlineLevel="0" collapsed="false">
      <c r="A7" s="26" t="s">
        <v>39</v>
      </c>
      <c r="B7" s="27" t="n">
        <v>5</v>
      </c>
      <c r="C7" s="27" t="n">
        <v>6.25</v>
      </c>
      <c r="D7" s="27" t="n">
        <v>0.5</v>
      </c>
      <c r="E7" s="27" t="n">
        <v>25</v>
      </c>
    </row>
    <row r="9" customFormat="false" ht="15" hidden="false" customHeight="true" outlineLevel="0" collapsed="false">
      <c r="A9" s="3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5" min="2" style="1" width="13"/>
  </cols>
  <sheetData>
    <row r="1" customFormat="false" ht="17.25" hidden="false" customHeight="true" outlineLevel="0" collapsed="false">
      <c r="A1" s="2" t="s">
        <v>72</v>
      </c>
    </row>
    <row r="2" customFormat="false" ht="15" hidden="false" customHeight="true" outlineLevel="0" collapsed="false">
      <c r="A2" s="3" t="s">
        <v>73</v>
      </c>
    </row>
    <row r="4" customFormat="false" ht="15" hidden="false" customHeight="true" outlineLevel="0" collapsed="false">
      <c r="A4" s="25" t="s">
        <v>74</v>
      </c>
      <c r="B4" s="28" t="n">
        <v>5</v>
      </c>
      <c r="C4" s="28" t="n">
        <v>10</v>
      </c>
      <c r="D4" s="28" t="n">
        <v>20</v>
      </c>
      <c r="E4" s="28" t="n">
        <v>30</v>
      </c>
    </row>
    <row r="5" customFormat="false" ht="15" hidden="false" customHeight="true" outlineLevel="0" collapsed="false">
      <c r="A5" s="29" t="n">
        <v>10</v>
      </c>
      <c r="B5" s="30" t="n">
        <f aca="false">'Cost Calculator'!$B$26*10*5</f>
        <v>40.0288125</v>
      </c>
      <c r="C5" s="30" t="n">
        <f aca="false">'Cost Calculator'!$B$26*10*10</f>
        <v>80.057625</v>
      </c>
      <c r="D5" s="30" t="n">
        <f aca="false">'Cost Calculator'!$B$26*10*20</f>
        <v>160.11525</v>
      </c>
      <c r="E5" s="30" t="n">
        <f aca="false">'Cost Calculator'!$B$26*10*30</f>
        <v>240.172875</v>
      </c>
    </row>
    <row r="6" customFormat="false" ht="15" hidden="false" customHeight="true" outlineLevel="0" collapsed="false">
      <c r="A6" s="29" t="n">
        <v>15</v>
      </c>
      <c r="B6" s="30" t="n">
        <f aca="false">'Cost Calculator'!$B$26*15*5</f>
        <v>60.04321875</v>
      </c>
      <c r="C6" s="30" t="n">
        <f aca="false">'Cost Calculator'!$B$26*15*10</f>
        <v>120.0864375</v>
      </c>
      <c r="D6" s="30" t="n">
        <f aca="false">'Cost Calculator'!$B$26*15*20</f>
        <v>240.172875</v>
      </c>
      <c r="E6" s="30" t="n">
        <f aca="false">'Cost Calculator'!$B$26*15*30</f>
        <v>360.2593125</v>
      </c>
    </row>
    <row r="7" customFormat="false" ht="15" hidden="false" customHeight="true" outlineLevel="0" collapsed="false">
      <c r="A7" s="29" t="n">
        <v>20</v>
      </c>
      <c r="B7" s="30" t="n">
        <f aca="false">'Cost Calculator'!$B$26*20*5</f>
        <v>80.057625</v>
      </c>
      <c r="C7" s="30" t="n">
        <f aca="false">'Cost Calculator'!$B$26*20*10</f>
        <v>160.11525</v>
      </c>
      <c r="D7" s="30" t="n">
        <f aca="false">'Cost Calculator'!$B$26*20*20</f>
        <v>320.2305</v>
      </c>
      <c r="E7" s="30" t="n">
        <f aca="false">'Cost Calculator'!$B$26*20*30</f>
        <v>480.34575</v>
      </c>
    </row>
    <row r="8" customFormat="false" ht="15" hidden="false" customHeight="true" outlineLevel="0" collapsed="false">
      <c r="A8" s="29" t="n">
        <v>30</v>
      </c>
      <c r="B8" s="30" t="n">
        <f aca="false">'Cost Calculator'!$B$26*30*5</f>
        <v>120.0864375</v>
      </c>
      <c r="C8" s="30" t="n">
        <f aca="false">'Cost Calculator'!$B$26*30*10</f>
        <v>240.172875</v>
      </c>
      <c r="D8" s="30" t="n">
        <f aca="false">'Cost Calculator'!$B$26*30*20</f>
        <v>480.34575</v>
      </c>
      <c r="E8" s="30" t="n">
        <f aca="false">'Cost Calculator'!$B$26*30*30</f>
        <v>720.518625</v>
      </c>
    </row>
    <row r="9" customFormat="false" ht="15" hidden="false" customHeight="true" outlineLevel="0" collapsed="false">
      <c r="A9" s="29" t="n">
        <v>45</v>
      </c>
      <c r="B9" s="30" t="n">
        <f aca="false">'Cost Calculator'!$B$26*45*5</f>
        <v>180.12965625</v>
      </c>
      <c r="C9" s="30" t="n">
        <f aca="false">'Cost Calculator'!$B$26*45*10</f>
        <v>360.2593125</v>
      </c>
      <c r="D9" s="30" t="n">
        <f aca="false">'Cost Calculator'!$B$26*45*20</f>
        <v>720.518625</v>
      </c>
      <c r="E9" s="30" t="n">
        <f aca="false">'Cost Calculator'!$B$26*45*30</f>
        <v>1080.7779375</v>
      </c>
    </row>
    <row r="10" customFormat="false" ht="15" hidden="false" customHeight="true" outlineLevel="0" collapsed="false">
      <c r="A10" s="29" t="n">
        <v>60</v>
      </c>
      <c r="B10" s="30" t="n">
        <f aca="false">'Cost Calculator'!$B$26*60*5</f>
        <v>240.172875</v>
      </c>
      <c r="C10" s="30" t="n">
        <f aca="false">'Cost Calculator'!$B$26*60*10</f>
        <v>480.34575</v>
      </c>
      <c r="D10" s="30" t="n">
        <f aca="false">'Cost Calculator'!$B$26*60*20</f>
        <v>960.6915</v>
      </c>
      <c r="E10" s="30" t="n">
        <f aca="false">'Cost Calculator'!$B$26*60*30</f>
        <v>1441.03725</v>
      </c>
    </row>
    <row r="13" customFormat="false" ht="15" hidden="false" customHeight="true" outlineLevel="0" collapsed="false">
      <c r="A13" s="3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8"/>
  </cols>
  <sheetData>
    <row r="1" customFormat="false" ht="17.25" hidden="false" customHeight="true" outlineLevel="0" collapsed="false">
      <c r="A1" s="2" t="s">
        <v>76</v>
      </c>
    </row>
    <row r="3" customFormat="false" ht="45.75" hidden="false" customHeight="true" outlineLevel="0" collapsed="false">
      <c r="A3" s="15" t="s">
        <v>77</v>
      </c>
      <c r="B3" s="31" t="s">
        <v>78</v>
      </c>
    </row>
    <row r="4" customFormat="false" ht="45.75" hidden="false" customHeight="true" outlineLevel="0" collapsed="false">
      <c r="A4" s="15" t="s">
        <v>7</v>
      </c>
      <c r="B4" s="31" t="s">
        <v>79</v>
      </c>
    </row>
    <row r="5" customFormat="false" ht="45.75" hidden="false" customHeight="true" outlineLevel="0" collapsed="false">
      <c r="A5" s="15" t="s">
        <v>80</v>
      </c>
      <c r="B5" s="31" t="s">
        <v>81</v>
      </c>
    </row>
    <row r="6" customFormat="false" ht="45.75" hidden="false" customHeight="true" outlineLevel="0" collapsed="false">
      <c r="A6" s="15" t="s">
        <v>15</v>
      </c>
      <c r="B6" s="31" t="s">
        <v>82</v>
      </c>
    </row>
    <row r="7" customFormat="false" ht="45.75" hidden="false" customHeight="true" outlineLevel="0" collapsed="false">
      <c r="A7" s="15" t="s">
        <v>83</v>
      </c>
      <c r="B7" s="31" t="s">
        <v>84</v>
      </c>
    </row>
    <row r="8" customFormat="false" ht="45.75" hidden="false" customHeight="true" outlineLevel="0" collapsed="false">
      <c r="A8" s="15" t="s">
        <v>85</v>
      </c>
      <c r="B8" s="31" t="s">
        <v>86</v>
      </c>
    </row>
    <row r="9" customFormat="false" ht="45.75" hidden="false" customHeight="true" outlineLevel="0" collapsed="false">
      <c r="A9" s="15" t="s">
        <v>87</v>
      </c>
      <c r="B9" s="31" t="s">
        <v>88</v>
      </c>
    </row>
    <row r="10" customFormat="false" ht="45.75" hidden="false" customHeight="true" outlineLevel="0" collapsed="false">
      <c r="A10" s="15" t="s">
        <v>89</v>
      </c>
      <c r="B10" s="31" t="s">
        <v>90</v>
      </c>
    </row>
    <row r="11" customFormat="false" ht="45.75" hidden="false" customHeight="true" outlineLevel="0" collapsed="false">
      <c r="A11" s="15" t="s">
        <v>91</v>
      </c>
      <c r="B11" s="31" t="s">
        <v>92</v>
      </c>
    </row>
    <row r="12" customFormat="false" ht="45.75" hidden="false" customHeight="true" outlineLevel="0" collapsed="false">
      <c r="A12" s="32" t="s">
        <v>93</v>
      </c>
      <c r="B12" s="33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2026-09-03T05:48:10Z</dcterms:created>
  <dc:creator>openpyxl</dc:creator>
  <dc:description/>
  <dc:language>en-US</dc:language>
  <cp:lastModifiedBy/>
  <dcterms:modified xsi:type="dcterms:W3CDTF">2026-09-03T06:16:48Z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